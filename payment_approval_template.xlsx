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10455" firstSheet="1" activeTab="1"/>
  </bookViews>
  <sheets>
    <sheet name="原版" sheetId="1" state="hidden" r:id="rId1"/>
    <sheet name="付款审批单" sheetId="2" r:id="rId2"/>
    <sheet name="清单" sheetId="3" r:id="rId3"/>
    <sheet name="分类说明" sheetId="4" r:id="rId4"/>
  </sheets>
  <definedNames>
    <definedName name="_xlnm.Print_Area" localSheetId="1">付款审批单!$A$1:$M$16</definedName>
    <definedName name="_xlnm.Print_Area" localSheetId="2">清单!$A$1:$H$21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lenovo</author>
  </authors>
  <commentList>
    <comment ref="B11" authorId="0">
      <text>
        <r>
          <rPr>
            <sz val="10"/>
            <rFont val="宋体"/>
            <charset val="134"/>
          </rPr>
          <t>lenovo:
填写币种</t>
        </r>
      </text>
    </comment>
  </commentList>
</comments>
</file>

<file path=xl/sharedStrings.xml><?xml version="1.0" encoding="utf-8"?>
<sst xmlns="http://schemas.openxmlformats.org/spreadsheetml/2006/main" count="118" uniqueCount="97">
  <si>
    <t>费用报销单</t>
  </si>
  <si>
    <t>单位名称:</t>
  </si>
  <si>
    <t>部门：</t>
  </si>
  <si>
    <t>填报日期</t>
  </si>
  <si>
    <t>费用内容</t>
  </si>
  <si>
    <t>摘      要</t>
  </si>
  <si>
    <t>金额</t>
  </si>
  <si>
    <t>备  注</t>
  </si>
  <si>
    <t>附</t>
  </si>
  <si>
    <t>件</t>
  </si>
  <si>
    <t>张</t>
  </si>
  <si>
    <t>报销金额小写</t>
  </si>
  <si>
    <t>大写：</t>
  </si>
  <si>
    <t>收款人账  户信息</t>
  </si>
  <si>
    <t>收人姓名</t>
  </si>
  <si>
    <t>开户银行</t>
  </si>
  <si>
    <t>银行账号</t>
  </si>
  <si>
    <t>相关负责人审批：</t>
  </si>
  <si>
    <t>财务审核：</t>
  </si>
  <si>
    <t>经办人:</t>
  </si>
  <si>
    <t>金彩亚太</t>
  </si>
  <si>
    <t>币种</t>
  </si>
  <si>
    <t>KINCARD TIANSHAN MINING (PRIVATE) LIMITED</t>
  </si>
  <si>
    <t>KINCARD 天山矿业私人有限公司</t>
  </si>
  <si>
    <t xml:space="preserve"> Payment Voucher </t>
  </si>
  <si>
    <t>付款审批单</t>
  </si>
  <si>
    <t>Date/时间:</t>
  </si>
  <si>
    <t>NO./序号</t>
  </si>
  <si>
    <t>类别</t>
  </si>
  <si>
    <t>Description/摘要</t>
  </si>
  <si>
    <t>Amount/金额</t>
  </si>
  <si>
    <t>Note/备注</t>
  </si>
  <si>
    <t>Total/合计</t>
  </si>
  <si>
    <r>
      <rPr>
        <sz val="10"/>
        <color theme="1"/>
        <rFont val="Times New Roman"/>
        <charset val="134"/>
      </rPr>
      <t xml:space="preserve">Payment Method/
</t>
    </r>
    <r>
      <rPr>
        <sz val="10"/>
        <color theme="1"/>
        <rFont val="宋体"/>
        <charset val="134"/>
      </rPr>
      <t>支付方式</t>
    </r>
  </si>
  <si>
    <t xml:space="preserve">Currency/币种
</t>
  </si>
  <si>
    <t>PKR/卢比</t>
  </si>
  <si>
    <t>Capital/
大写：</t>
  </si>
  <si>
    <t>Beneficiary account information/收款人账户信息</t>
  </si>
  <si>
    <t>Beneficiary Name/收款人名称:</t>
  </si>
  <si>
    <t>Beneficiary bank:/开户银行</t>
  </si>
  <si>
    <t>Bank Account:/
银行账号</t>
  </si>
  <si>
    <t>Handler/
经办人：</t>
  </si>
  <si>
    <t>Financial Manager/
财务经理：</t>
  </si>
  <si>
    <t>General Manager/
总经理：</t>
  </si>
  <si>
    <t>Payee/
领款人：</t>
  </si>
  <si>
    <t>发票清单</t>
  </si>
  <si>
    <t>序号</t>
  </si>
  <si>
    <t>时间</t>
  </si>
  <si>
    <t>事项</t>
  </si>
  <si>
    <t>经办人</t>
  </si>
  <si>
    <t>备注</t>
  </si>
  <si>
    <t>合计</t>
  </si>
  <si>
    <t>财务经理：</t>
  </si>
  <si>
    <t>总经理：</t>
  </si>
  <si>
    <t>描述</t>
  </si>
  <si>
    <t>员工工资</t>
  </si>
  <si>
    <t>公司员工工资。</t>
  </si>
  <si>
    <t>办公费用</t>
  </si>
  <si>
    <t>办公用品等，如笔、胶棒、燕尾夹、插线板等。</t>
  </si>
  <si>
    <t>车辆燃油</t>
  </si>
  <si>
    <t>办公车辆加油，注意与项目现场作业车辆加油区分来。</t>
  </si>
  <si>
    <t>车辆维修</t>
  </si>
  <si>
    <t>办公车辆维修，与办公室及宿舍维修区分来。</t>
  </si>
  <si>
    <t>员工福利</t>
  </si>
  <si>
    <t>食堂食材调料、员工月度生活用品及按周发放的巴方员工伙食补助等。</t>
  </si>
  <si>
    <t>劳保用品</t>
  </si>
  <si>
    <t>安全帽、工作服、防护手套等。</t>
  </si>
  <si>
    <t>低值易耗</t>
  </si>
  <si>
    <t>多次使用、基本保持实物形态‌，区别于一次性消耗材料，如刀具、夹具、模具、扳手、千斤顶等。</t>
  </si>
  <si>
    <t>办公维修</t>
  </si>
  <si>
    <t>办公室、宿舍维修门窗、线路、家电家具维修等。</t>
  </si>
  <si>
    <t>固定资产</t>
  </si>
  <si>
    <t>一般情况单价超过10万卢比，使用期间超过1年，需要按固定资产申请。</t>
  </si>
  <si>
    <t>差旅费用</t>
  </si>
  <si>
    <t>离开常驻工作地来回产生的飞机火车大巴出租等交通费、住宿费、餐费等。</t>
  </si>
  <si>
    <t>业务招待</t>
  </si>
  <si>
    <t>招待非公司员工发生的支出，如餐费、礼品等。</t>
  </si>
  <si>
    <t>劳务支出</t>
  </si>
  <si>
    <t>支付非公司员工的劳动报酬，如维修工、清扫工等非公司员工报酬。</t>
  </si>
  <si>
    <t>咨询服务</t>
  </si>
  <si>
    <t>专业服务费，如咨询费、律师费、代理记账费、税务咨询费、勘探费等。</t>
  </si>
  <si>
    <t>在建工程</t>
  </si>
  <si>
    <t>为建造或安装固定资产而发生的支出，如钢筋水泥等建造材料、人工劳务支出、燃料支出等。</t>
  </si>
  <si>
    <t>通讯费用</t>
  </si>
  <si>
    <t>公司网络、员工电话卡等支出</t>
  </si>
  <si>
    <t>水电气费</t>
  </si>
  <si>
    <t>办公室宿舍用水、电费、燃气费。</t>
  </si>
  <si>
    <t>开办费用</t>
  </si>
  <si>
    <t>公司被批准筹办之日起，至开始生产、经营发生的各种必要支出。</t>
  </si>
  <si>
    <t>租金费用</t>
  </si>
  <si>
    <t>车辆租金、房屋租金等。</t>
  </si>
  <si>
    <t>其他支出</t>
  </si>
  <si>
    <t>未能归入上述类别中，且金额较小的支出。</t>
  </si>
  <si>
    <t>借款</t>
  </si>
  <si>
    <t>临时借款，短期内需报账清零。</t>
  </si>
  <si>
    <t>备用金</t>
  </si>
  <si>
    <t>作为长期周转使用，每次发生支出时填写付款申请单，审批通过后按申请单金额补足备用金。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</si>
</sst>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 * #,##0_ ;_ * \-#,##0_ ;_ * &quot;-&quot;??_ ;_ @_ "/>
    <numFmt numFmtId="177" formatCode="#,##0.00_ "/>
    <numFmt numFmtId="178" formatCode="#,##0_ "/>
    <numFmt numFmtId="179" formatCode="#,##0.00_);[Red]\(#,##0.00\)"/>
    <numFmt numFmtId="180" formatCode="[$¥-804]#,##0.00;[$¥-804]\-#,##0.00"/>
    <numFmt numFmtId="181" formatCode="[$-F800]dddd\,\ mmmm\ dd\,\ yyyy"/>
  </numFmts>
  <fonts count="41">
    <font>
      <sz val="10"/>
      <color theme="1"/>
      <name val="宋体"/>
      <charset val="134"/>
      <scheme val="minor"/>
    </font>
    <font>
      <b/>
      <sz val="10"/>
      <color theme="1"/>
      <name val="Times New Roman"/>
      <charset val="134"/>
    </font>
    <font>
      <sz val="10"/>
      <color theme="1"/>
      <name val="等线"/>
      <charset val="134"/>
    </font>
    <font>
      <sz val="10"/>
      <color theme="1"/>
      <name val="Times New Roman"/>
      <charset val="134"/>
    </font>
    <font>
      <sz val="10"/>
      <color theme="1"/>
      <name val="宋体"/>
      <charset val="134"/>
    </font>
    <font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4"/>
      <color theme="1"/>
      <name val="Times New Roman"/>
      <charset val="134"/>
    </font>
    <font>
      <b/>
      <sz val="14"/>
      <color theme="1"/>
      <name val="Times New Roman"/>
      <charset val="134"/>
    </font>
    <font>
      <b/>
      <sz val="11"/>
      <color theme="1"/>
      <name val="Times New Roman"/>
      <charset val="134"/>
    </font>
    <font>
      <b/>
      <sz val="10"/>
      <color theme="1"/>
      <name val="宋体"/>
      <charset val="134"/>
    </font>
    <font>
      <sz val="12"/>
      <color theme="1"/>
      <name val="Times New Roman"/>
      <charset val="134"/>
    </font>
    <font>
      <sz val="12"/>
      <color theme="1"/>
      <name val="宋体"/>
      <charset val="134"/>
      <scheme val="minor"/>
    </font>
    <font>
      <sz val="12"/>
      <color theme="1"/>
      <name val="宋体"/>
      <charset val="134"/>
    </font>
    <font>
      <sz val="16"/>
      <color theme="1"/>
      <name val="Times New Roman"/>
      <charset val="134"/>
    </font>
    <font>
      <b/>
      <u val="double"/>
      <sz val="14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sz val="10"/>
      <color theme="1"/>
      <name val="微软雅黑"/>
      <charset val="134"/>
    </font>
    <font>
      <b/>
      <sz val="11"/>
      <color theme="1"/>
      <name val="微软雅黑"/>
      <charset val="134"/>
    </font>
    <font>
      <b/>
      <sz val="1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/>
      <bottom style="hair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5" fillId="0" borderId="0">
      <alignment vertical="center"/>
    </xf>
    <xf numFmtId="44" fontId="5" fillId="0" borderId="0">
      <alignment vertical="center"/>
    </xf>
    <xf numFmtId="9" fontId="5" fillId="0" borderId="0">
      <alignment vertical="center"/>
    </xf>
    <xf numFmtId="41" fontId="5" fillId="0" borderId="0">
      <alignment vertical="center"/>
    </xf>
    <xf numFmtId="42" fontId="5" fillId="0" borderId="0">
      <alignment vertical="center"/>
    </xf>
    <xf numFmtId="0" fontId="21" fillId="0" borderId="0">
      <alignment vertical="center"/>
    </xf>
    <xf numFmtId="0" fontId="22" fillId="0" borderId="0">
      <alignment vertical="center"/>
    </xf>
    <xf numFmtId="0" fontId="5" fillId="4" borderId="32">
      <alignment vertical="center"/>
    </xf>
    <xf numFmtId="0" fontId="23" fillId="0" borderId="0">
      <alignment vertical="center"/>
    </xf>
    <xf numFmtId="0" fontId="24" fillId="0" borderId="0">
      <alignment vertical="center"/>
    </xf>
    <xf numFmtId="0" fontId="25" fillId="0" borderId="0">
      <alignment vertical="center"/>
    </xf>
    <xf numFmtId="0" fontId="26" fillId="0" borderId="33">
      <alignment vertical="center"/>
    </xf>
    <xf numFmtId="0" fontId="27" fillId="0" borderId="33">
      <alignment vertical="center"/>
    </xf>
    <xf numFmtId="0" fontId="28" fillId="0" borderId="34">
      <alignment vertical="center"/>
    </xf>
    <xf numFmtId="0" fontId="28" fillId="0" borderId="0">
      <alignment vertical="center"/>
    </xf>
    <xf numFmtId="0" fontId="29" fillId="5" borderId="35">
      <alignment vertical="center"/>
    </xf>
    <xf numFmtId="0" fontId="30" fillId="6" borderId="36">
      <alignment vertical="center"/>
    </xf>
    <xf numFmtId="0" fontId="31" fillId="6" borderId="35">
      <alignment vertical="center"/>
    </xf>
    <xf numFmtId="0" fontId="32" fillId="7" borderId="37">
      <alignment vertical="center"/>
    </xf>
    <xf numFmtId="0" fontId="33" fillId="0" borderId="38">
      <alignment vertical="center"/>
    </xf>
    <xf numFmtId="0" fontId="34" fillId="0" borderId="39">
      <alignment vertical="center"/>
    </xf>
    <xf numFmtId="0" fontId="35" fillId="8" borderId="0">
      <alignment vertical="center"/>
    </xf>
    <xf numFmtId="0" fontId="36" fillId="9" borderId="0">
      <alignment vertical="center"/>
    </xf>
    <xf numFmtId="0" fontId="37" fillId="10" borderId="0">
      <alignment vertical="center"/>
    </xf>
    <xf numFmtId="0" fontId="38" fillId="11" borderId="0">
      <alignment vertical="center"/>
    </xf>
    <xf numFmtId="0" fontId="39" fillId="12" borderId="0">
      <alignment vertical="center"/>
    </xf>
    <xf numFmtId="0" fontId="39" fillId="13" borderId="0">
      <alignment vertical="center"/>
    </xf>
    <xf numFmtId="0" fontId="38" fillId="14" borderId="0">
      <alignment vertical="center"/>
    </xf>
    <xf numFmtId="0" fontId="38" fillId="15" borderId="0">
      <alignment vertical="center"/>
    </xf>
    <xf numFmtId="0" fontId="39" fillId="16" borderId="0">
      <alignment vertical="center"/>
    </xf>
    <xf numFmtId="0" fontId="39" fillId="17" borderId="0">
      <alignment vertical="center"/>
    </xf>
    <xf numFmtId="0" fontId="38" fillId="18" borderId="0">
      <alignment vertical="center"/>
    </xf>
    <xf numFmtId="0" fontId="38" fillId="19" borderId="0">
      <alignment vertical="center"/>
    </xf>
    <xf numFmtId="0" fontId="39" fillId="20" borderId="0">
      <alignment vertical="center"/>
    </xf>
    <xf numFmtId="0" fontId="39" fillId="21" borderId="0">
      <alignment vertical="center"/>
    </xf>
    <xf numFmtId="0" fontId="38" fillId="22" borderId="0">
      <alignment vertical="center"/>
    </xf>
    <xf numFmtId="0" fontId="38" fillId="23" borderId="0">
      <alignment vertical="center"/>
    </xf>
    <xf numFmtId="0" fontId="39" fillId="24" borderId="0">
      <alignment vertical="center"/>
    </xf>
    <xf numFmtId="0" fontId="39" fillId="25" borderId="0">
      <alignment vertical="center"/>
    </xf>
    <xf numFmtId="0" fontId="38" fillId="26" borderId="0">
      <alignment vertical="center"/>
    </xf>
    <xf numFmtId="0" fontId="38" fillId="27" borderId="0">
      <alignment vertical="center"/>
    </xf>
    <xf numFmtId="0" fontId="39" fillId="28" borderId="0">
      <alignment vertical="center"/>
    </xf>
    <xf numFmtId="0" fontId="39" fillId="29" borderId="0">
      <alignment vertical="center"/>
    </xf>
    <xf numFmtId="0" fontId="38" fillId="30" borderId="0">
      <alignment vertical="center"/>
    </xf>
    <xf numFmtId="0" fontId="38" fillId="31" borderId="0">
      <alignment vertical="center"/>
    </xf>
    <xf numFmtId="0" fontId="39" fillId="32" borderId="0">
      <alignment vertical="center"/>
    </xf>
    <xf numFmtId="0" fontId="39" fillId="33" borderId="0">
      <alignment vertical="center"/>
    </xf>
    <xf numFmtId="0" fontId="38" fillId="34" borderId="0">
      <alignment vertical="center"/>
    </xf>
    <xf numFmtId="0" fontId="5" fillId="0" borderId="0"/>
    <xf numFmtId="43" fontId="5" fillId="0" borderId="0">
      <alignment vertical="center"/>
    </xf>
  </cellStyleXfs>
  <cellXfs count="118">
    <xf numFmtId="0" fontId="0" fillId="0" borderId="0" xfId="0" applyAlignment="1">
      <alignment vertical="center"/>
    </xf>
    <xf numFmtId="0" fontId="0" fillId="0" borderId="0" xfId="0" applyAlignment="1"/>
    <xf numFmtId="0" fontId="1" fillId="2" borderId="1" xfId="49" applyFont="1" applyFill="1" applyBorder="1" applyAlignment="1">
      <alignment horizontal="center" vertical="center"/>
    </xf>
    <xf numFmtId="0" fontId="2" fillId="0" borderId="1" xfId="49" applyFont="1" applyBorder="1" applyAlignment="1">
      <alignment vertical="center"/>
    </xf>
    <xf numFmtId="0" fontId="0" fillId="0" borderId="1" xfId="0" applyBorder="1" applyAlignment="1">
      <alignment vertical="center"/>
    </xf>
    <xf numFmtId="0" fontId="3" fillId="0" borderId="1" xfId="49" applyFont="1" applyBorder="1" applyAlignment="1">
      <alignment vertical="center"/>
    </xf>
    <xf numFmtId="0" fontId="4" fillId="0" borderId="1" xfId="49" applyFont="1" applyBorder="1" applyAlignment="1">
      <alignment vertical="center"/>
    </xf>
    <xf numFmtId="0" fontId="4" fillId="0" borderId="1" xfId="0" applyBorder="1" applyAlignment="1">
      <alignment vertical="center"/>
    </xf>
    <xf numFmtId="0" fontId="5" fillId="0" borderId="0" xfId="49" applyAlignment="1">
      <alignment horizontal="center" vertical="center"/>
    </xf>
    <xf numFmtId="0" fontId="5" fillId="0" borderId="0" xfId="49" applyAlignment="1">
      <alignment vertical="center"/>
    </xf>
    <xf numFmtId="0" fontId="6" fillId="0" borderId="0" xfId="49" applyFont="1" applyAlignment="1">
      <alignment horizontal="centerContinuous" vertical="center"/>
    </xf>
    <xf numFmtId="0" fontId="7" fillId="2" borderId="1" xfId="49" applyFont="1" applyFill="1" applyBorder="1" applyAlignment="1">
      <alignment horizontal="center" vertical="center"/>
    </xf>
    <xf numFmtId="0" fontId="5" fillId="0" borderId="1" xfId="49" applyBorder="1" applyAlignment="1">
      <alignment horizontal="center" vertical="center"/>
    </xf>
    <xf numFmtId="14" fontId="5" fillId="0" borderId="1" xfId="49" applyNumberFormat="1" applyBorder="1" applyAlignment="1">
      <alignment vertical="center"/>
    </xf>
    <xf numFmtId="176" fontId="0" fillId="0" borderId="1" xfId="50" applyNumberFormat="1" applyFont="1" applyBorder="1" applyAlignment="1">
      <alignment vertical="center"/>
    </xf>
    <xf numFmtId="0" fontId="5" fillId="0" borderId="1" xfId="49" applyBorder="1" applyAlignment="1">
      <alignment vertical="center"/>
    </xf>
    <xf numFmtId="0" fontId="0" fillId="0" borderId="0" xfId="0" applyAlignment="1">
      <alignment horizontal="center" vertical="center"/>
    </xf>
    <xf numFmtId="0" fontId="8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9" fillId="0" borderId="5" xfId="0" applyFont="1" applyBorder="1" applyAlignment="1">
      <alignment horizontal="centerContinuous" vertical="center"/>
    </xf>
    <xf numFmtId="0" fontId="9" fillId="0" borderId="0" xfId="0" applyFont="1" applyAlignment="1">
      <alignment horizontal="centerContinuous" vertical="center"/>
    </xf>
    <xf numFmtId="0" fontId="9" fillId="0" borderId="6" xfId="0" applyFont="1" applyBorder="1" applyAlignment="1">
      <alignment horizontal="centerContinuous" vertical="center"/>
    </xf>
    <xf numFmtId="0" fontId="3" fillId="0" borderId="0" xfId="0" applyFont="1" applyAlignment="1">
      <alignment horizontal="centerContinuous" vertical="center"/>
    </xf>
    <xf numFmtId="0" fontId="3" fillId="0" borderId="6" xfId="0" applyFont="1" applyBorder="1" applyAlignment="1">
      <alignment horizontal="centerContinuous" vertical="center"/>
    </xf>
    <xf numFmtId="0" fontId="1" fillId="0" borderId="5" xfId="0" applyFont="1" applyBorder="1" applyAlignment="1">
      <alignment vertical="center"/>
    </xf>
    <xf numFmtId="0" fontId="1" fillId="0" borderId="0" xfId="0" applyFont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right" vertical="center"/>
      <protection locked="0"/>
    </xf>
    <xf numFmtId="14" fontId="10" fillId="0" borderId="7" xfId="0" applyNumberFormat="1" applyFont="1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protection locked="0"/>
    </xf>
    <xf numFmtId="0" fontId="0" fillId="0" borderId="7" xfId="0" applyBorder="1" applyAlignment="1" applyProtection="1">
      <protection locked="0"/>
    </xf>
    <xf numFmtId="0" fontId="1" fillId="3" borderId="9" xfId="0" applyFont="1" applyFill="1" applyBorder="1" applyAlignment="1" applyProtection="1">
      <alignment horizontal="center" vertical="center" wrapText="1"/>
      <protection locked="0"/>
    </xf>
    <xf numFmtId="0" fontId="11" fillId="3" borderId="10" xfId="0" applyFont="1" applyFill="1" applyBorder="1" applyAlignment="1" applyProtection="1">
      <alignment horizontal="center" vertical="center" wrapText="1"/>
      <protection locked="0"/>
    </xf>
    <xf numFmtId="0" fontId="1" fillId="3" borderId="10" xfId="0" applyFont="1" applyFill="1" applyBorder="1" applyAlignment="1" applyProtection="1">
      <alignment horizontal="center" vertical="center" wrapText="1"/>
      <protection locked="0"/>
    </xf>
    <xf numFmtId="0" fontId="0" fillId="0" borderId="11" xfId="0" applyBorder="1" applyAlignment="1" applyProtection="1">
      <protection locked="0"/>
    </xf>
    <xf numFmtId="0" fontId="0" fillId="0" borderId="12" xfId="0" applyBorder="1" applyAlignment="1" applyProtection="1">
      <protection locked="0"/>
    </xf>
    <xf numFmtId="0" fontId="1" fillId="3" borderId="10" xfId="0" applyFont="1" applyFill="1" applyBorder="1" applyAlignment="1">
      <alignment horizontal="center" vertical="center" wrapText="1"/>
    </xf>
    <xf numFmtId="0" fontId="0" fillId="0" borderId="12" xfId="0" applyBorder="1" applyAlignment="1"/>
    <xf numFmtId="0" fontId="0" fillId="0" borderId="11" xfId="0" applyBorder="1" applyAlignment="1"/>
    <xf numFmtId="0" fontId="12" fillId="0" borderId="13" xfId="0" applyFont="1" applyBorder="1" applyAlignment="1">
      <alignment horizontal="center" vertical="center" wrapText="1"/>
    </xf>
    <xf numFmtId="176" fontId="13" fillId="0" borderId="1" xfId="50" applyNumberFormat="1" applyFont="1" applyBorder="1" applyAlignment="1">
      <alignment horizontal="center" vertical="center"/>
    </xf>
    <xf numFmtId="0" fontId="14" fillId="0" borderId="1" xfId="0" applyFont="1" applyBorder="1" applyAlignment="1" applyProtection="1">
      <alignment horizontal="left" vertical="center" wrapText="1"/>
      <protection locked="0"/>
    </xf>
    <xf numFmtId="0" fontId="0" fillId="0" borderId="14" xfId="0" applyBorder="1" applyAlignment="1" applyProtection="1">
      <protection locked="0"/>
    </xf>
    <xf numFmtId="0" fontId="0" fillId="0" borderId="15" xfId="0" applyBorder="1" applyAlignment="1" applyProtection="1">
      <protection locked="0"/>
    </xf>
    <xf numFmtId="177" fontId="14" fillId="0" borderId="1" xfId="0" applyNumberFormat="1" applyFont="1" applyBorder="1" applyAlignment="1" applyProtection="1">
      <alignment horizontal="center" vertical="center" wrapText="1"/>
      <protection locked="0"/>
    </xf>
    <xf numFmtId="0" fontId="12" fillId="0" borderId="1" xfId="0" applyFont="1" applyBorder="1" applyAlignment="1" applyProtection="1">
      <alignment horizontal="center" vertical="center" wrapText="1"/>
      <protection locked="0"/>
    </xf>
    <xf numFmtId="0" fontId="12" fillId="0" borderId="1" xfId="0" applyFont="1" applyBorder="1" applyAlignment="1" applyProtection="1">
      <alignment horizontal="left" vertical="center" wrapText="1"/>
      <protection locked="0"/>
    </xf>
    <xf numFmtId="178" fontId="12" fillId="0" borderId="1" xfId="0" applyNumberFormat="1" applyFont="1" applyBorder="1" applyAlignment="1" applyProtection="1">
      <alignment horizontal="center" vertical="center" wrapText="1"/>
      <protection locked="0"/>
    </xf>
    <xf numFmtId="0" fontId="12" fillId="0" borderId="13" xfId="0" applyFont="1" applyBorder="1" applyAlignment="1">
      <alignment horizontal="left" vertical="center" wrapText="1"/>
    </xf>
    <xf numFmtId="0" fontId="0" fillId="0" borderId="14" xfId="0" applyBorder="1" applyAlignment="1"/>
    <xf numFmtId="0" fontId="0" fillId="0" borderId="15" xfId="0" applyBorder="1" applyAlignment="1"/>
    <xf numFmtId="177" fontId="15" fillId="0" borderId="16" xfId="0" applyNumberFormat="1" applyFont="1" applyBorder="1" applyAlignment="1" applyProtection="1">
      <alignment horizontal="center" vertical="center" wrapText="1"/>
      <protection locked="0"/>
    </xf>
    <xf numFmtId="0" fontId="0" fillId="0" borderId="17" xfId="0" applyBorder="1" applyAlignment="1" applyProtection="1">
      <protection locked="0"/>
    </xf>
    <xf numFmtId="0" fontId="3" fillId="0" borderId="13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179" fontId="3" fillId="0" borderId="1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3" fillId="0" borderId="13" xfId="0" applyFont="1" applyBorder="1" applyAlignment="1" applyProtection="1">
      <alignment horizontal="left" vertical="center" wrapText="1"/>
      <protection locked="0"/>
    </xf>
    <xf numFmtId="0" fontId="0" fillId="0" borderId="18" xfId="0" applyBorder="1" applyAlignment="1" applyProtection="1"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>
      <alignment horizontal="center" vertical="center"/>
    </xf>
    <xf numFmtId="0" fontId="0" fillId="0" borderId="19" xfId="0" applyBorder="1" applyAlignment="1" applyProtection="1">
      <protection locked="0"/>
    </xf>
    <xf numFmtId="0" fontId="0" fillId="0" borderId="20" xfId="0" applyBorder="1" applyAlignment="1" applyProtection="1">
      <protection locked="0"/>
    </xf>
    <xf numFmtId="180" fontId="1" fillId="0" borderId="1" xfId="0" applyNumberFormat="1" applyFont="1" applyBorder="1" applyAlignment="1" applyProtection="1">
      <alignment horizontal="center" vertical="center"/>
      <protection locked="0"/>
    </xf>
    <xf numFmtId="180" fontId="3" fillId="0" borderId="1" xfId="0" applyNumberFormat="1" applyFont="1" applyBorder="1" applyAlignment="1" applyProtection="1">
      <alignment horizontal="center" vertical="center" wrapText="1"/>
      <protection locked="0"/>
    </xf>
    <xf numFmtId="49" fontId="1" fillId="0" borderId="1" xfId="0" applyNumberFormat="1" applyFont="1" applyBorder="1" applyAlignment="1">
      <alignment horizontal="center" vertical="center"/>
    </xf>
    <xf numFmtId="0" fontId="3" fillId="0" borderId="13" xfId="0" applyFont="1" applyBorder="1" applyAlignment="1" applyProtection="1">
      <alignment horizontal="center" vertical="center" wrapText="1"/>
      <protection locked="0"/>
    </xf>
    <xf numFmtId="0" fontId="3" fillId="0" borderId="1" xfId="0" applyFont="1" applyBorder="1" applyAlignment="1">
      <alignment horizontal="center" vertical="center"/>
    </xf>
    <xf numFmtId="0" fontId="3" fillId="0" borderId="21" xfId="0" applyFont="1" applyBorder="1" applyAlignment="1" applyProtection="1">
      <alignment horizontal="center" vertical="center" wrapText="1"/>
      <protection locked="0"/>
    </xf>
    <xf numFmtId="0" fontId="0" fillId="0" borderId="22" xfId="0" applyBorder="1" applyAlignment="1" applyProtection="1">
      <protection locked="0"/>
    </xf>
    <xf numFmtId="0" fontId="3" fillId="0" borderId="23" xfId="0" applyFont="1" applyBorder="1" applyAlignment="1">
      <alignment horizontal="center" vertical="center"/>
    </xf>
    <xf numFmtId="0" fontId="0" fillId="0" borderId="24" xfId="0" applyBorder="1" applyAlignment="1"/>
    <xf numFmtId="0" fontId="0" fillId="0" borderId="22" xfId="0" applyBorder="1" applyAlignment="1"/>
    <xf numFmtId="0" fontId="3" fillId="0" borderId="23" xfId="0" applyFont="1" applyBorder="1" applyAlignment="1" applyProtection="1">
      <alignment horizontal="center" vertical="center" wrapText="1"/>
      <protection locked="0"/>
    </xf>
    <xf numFmtId="0" fontId="16" fillId="0" borderId="0" xfId="0" applyFont="1" applyAlignment="1">
      <alignment horizontal="center" vertical="center"/>
    </xf>
    <xf numFmtId="0" fontId="17" fillId="0" borderId="0" xfId="0" applyFont="1" applyAlignment="1" applyProtection="1">
      <alignment horizontal="left" vertical="center"/>
      <protection locked="0"/>
    </xf>
    <xf numFmtId="0" fontId="17" fillId="0" borderId="8" xfId="0" applyFont="1" applyBorder="1" applyAlignment="1" applyProtection="1">
      <alignment horizontal="center" vertical="center"/>
      <protection locked="0"/>
    </xf>
    <xf numFmtId="0" fontId="17" fillId="0" borderId="0" xfId="0" applyFont="1" applyAlignment="1">
      <alignment vertical="center"/>
    </xf>
    <xf numFmtId="14" fontId="7" fillId="0" borderId="8" xfId="0" applyNumberFormat="1" applyFont="1" applyBorder="1" applyAlignment="1" applyProtection="1">
      <alignment horizontal="center" vertical="center"/>
      <protection locked="0"/>
    </xf>
    <xf numFmtId="0" fontId="17" fillId="0" borderId="0" xfId="0" applyFont="1" applyAlignment="1" applyProtection="1">
      <alignment horizontal="center" vertical="center"/>
      <protection locked="0"/>
    </xf>
    <xf numFmtId="181" fontId="0" fillId="0" borderId="8" xfId="0" applyNumberFormat="1" applyBorder="1" applyAlignment="1">
      <alignment horizontal="center" vertical="center"/>
    </xf>
    <xf numFmtId="0" fontId="0" fillId="0" borderId="8" xfId="0" applyBorder="1" applyAlignment="1"/>
    <xf numFmtId="0" fontId="17" fillId="3" borderId="9" xfId="0" applyFont="1" applyFill="1" applyBorder="1" applyAlignment="1" applyProtection="1">
      <alignment vertical="center" wrapText="1"/>
      <protection locked="0"/>
    </xf>
    <xf numFmtId="0" fontId="17" fillId="3" borderId="10" xfId="0" applyFont="1" applyFill="1" applyBorder="1" applyAlignment="1" applyProtection="1">
      <alignment horizontal="center" vertical="center" wrapText="1"/>
      <protection locked="0"/>
    </xf>
    <xf numFmtId="0" fontId="17" fillId="3" borderId="10" xfId="0" applyFont="1" applyFill="1" applyBorder="1" applyAlignment="1">
      <alignment horizontal="center" vertical="center" wrapText="1"/>
    </xf>
    <xf numFmtId="0" fontId="17" fillId="3" borderId="25" xfId="0" applyFont="1" applyFill="1" applyBorder="1" applyAlignment="1">
      <alignment horizontal="center" vertical="center" wrapText="1"/>
    </xf>
    <xf numFmtId="0" fontId="0" fillId="0" borderId="26" xfId="0" applyBorder="1" applyAlignment="1"/>
    <xf numFmtId="0" fontId="18" fillId="0" borderId="13" xfId="0" applyFont="1" applyBorder="1" applyAlignment="1">
      <alignment vertical="center" wrapText="1"/>
    </xf>
    <xf numFmtId="0" fontId="18" fillId="0" borderId="1" xfId="0" applyFont="1" applyBorder="1" applyAlignment="1" applyProtection="1">
      <alignment vertical="center" wrapText="1"/>
      <protection locked="0"/>
    </xf>
    <xf numFmtId="177" fontId="18" fillId="0" borderId="1" xfId="0" applyNumberFormat="1" applyFont="1" applyBorder="1" applyAlignment="1" applyProtection="1">
      <alignment vertical="center" wrapText="1"/>
      <protection locked="0"/>
    </xf>
    <xf numFmtId="0" fontId="18" fillId="0" borderId="16" xfId="0" applyFont="1" applyBorder="1" applyAlignment="1" applyProtection="1">
      <alignment horizontal="left" vertical="center" wrapText="1"/>
      <protection locked="0"/>
    </xf>
    <xf numFmtId="0" fontId="0" fillId="0" borderId="0" xfId="0" applyAlignment="1">
      <alignment horizontal="left" vertical="center"/>
    </xf>
    <xf numFmtId="0" fontId="0" fillId="0" borderId="27" xfId="0" applyBorder="1" applyAlignment="1">
      <alignment vertical="center"/>
    </xf>
    <xf numFmtId="0" fontId="17" fillId="0" borderId="28" xfId="0" applyFont="1" applyBorder="1" applyAlignment="1">
      <alignment vertical="center"/>
    </xf>
    <xf numFmtId="179" fontId="19" fillId="0" borderId="28" xfId="0" applyNumberFormat="1" applyFont="1" applyBorder="1" applyAlignment="1">
      <alignment horizontal="right" vertical="center"/>
    </xf>
    <xf numFmtId="0" fontId="0" fillId="0" borderId="29" xfId="0" applyBorder="1" applyAlignment="1"/>
    <xf numFmtId="0" fontId="0" fillId="0" borderId="20" xfId="0" applyBorder="1" applyAlignment="1"/>
    <xf numFmtId="0" fontId="0" fillId="0" borderId="28" xfId="0" applyBorder="1" applyAlignment="1">
      <alignment horizontal="center" vertical="center"/>
    </xf>
    <xf numFmtId="0" fontId="19" fillId="0" borderId="16" xfId="0" applyFont="1" applyBorder="1" applyAlignment="1">
      <alignment horizontal="left" vertical="center"/>
    </xf>
    <xf numFmtId="0" fontId="0" fillId="0" borderId="17" xfId="0" applyBorder="1" applyAlignment="1"/>
    <xf numFmtId="0" fontId="0" fillId="0" borderId="21" xfId="0" applyBorder="1" applyAlignment="1" applyProtection="1">
      <alignment horizontal="center" vertical="center" wrapText="1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180" fontId="17" fillId="0" borderId="1" xfId="0" applyNumberFormat="1" applyFont="1" applyBorder="1" applyAlignment="1" applyProtection="1">
      <alignment horizontal="center" vertical="center"/>
      <protection locked="0"/>
    </xf>
    <xf numFmtId="0" fontId="20" fillId="0" borderId="16" xfId="0" applyFont="1" applyBorder="1" applyAlignment="1">
      <alignment horizontal="center" vertical="center"/>
    </xf>
    <xf numFmtId="0" fontId="0" fillId="0" borderId="30" xfId="0" applyBorder="1" applyAlignment="1" applyProtection="1">
      <protection locked="0"/>
    </xf>
    <xf numFmtId="0" fontId="0" fillId="0" borderId="23" xfId="0" applyBorder="1" applyAlignment="1" applyProtection="1">
      <alignment vertical="center"/>
      <protection locked="0"/>
    </xf>
    <xf numFmtId="180" fontId="17" fillId="0" borderId="23" xfId="0" applyNumberFormat="1" applyFont="1" applyBorder="1" applyAlignment="1" applyProtection="1">
      <alignment horizontal="center" vertical="center"/>
      <protection locked="0"/>
    </xf>
    <xf numFmtId="49" fontId="20" fillId="0" borderId="23" xfId="0" applyNumberFormat="1" applyFont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0" fontId="17" fillId="0" borderId="0" xfId="0" applyFont="1" applyAlignment="1" applyProtection="1">
      <alignment vertical="center"/>
      <protection locked="0"/>
    </xf>
    <xf numFmtId="0" fontId="17" fillId="0" borderId="0" xfId="0" applyFont="1" applyAlignment="1">
      <alignment horizontal="right" vertical="center"/>
    </xf>
    <xf numFmtId="0" fontId="0" fillId="0" borderId="31" xfId="0" applyBorder="1" applyAlignment="1" applyProtection="1">
      <alignment horizontal="center" vertical="center"/>
      <protection locked="0"/>
    </xf>
    <xf numFmtId="0" fontId="0" fillId="0" borderId="31" xfId="0" applyBorder="1" applyAlignment="1">
      <alignment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千位分隔 2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trlProps/ctrlProp1.xml><?xml version="1.0" encoding="utf-8"?>
<formControlPr xmlns="http://schemas.microsoft.com/office/spreadsheetml/2009/9/main" objectType="CheckBox" noThreeD="1" val="0"/>
</file>

<file path=xl/ctrlProps/ctrlProp2.xml><?xml version="1.0" encoding="utf-8"?>
<formControlPr xmlns="http://schemas.microsoft.com/office/spreadsheetml/2009/9/main" objectType="CheckBox" noThreeD="1" val="0"/>
</file>

<file path=xl/ctrlProps/ctrlProp3.xml><?xml version="1.0" encoding="utf-8"?>
<formControlPr xmlns="http://schemas.microsoft.com/office/spreadsheetml/2009/9/main" objectType="CheckBox" checked="Checked" noThreeD="1" val="0"/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42863</xdr:colOff>
          <xdr:row>11</xdr:row>
          <xdr:rowOff>9525</xdr:rowOff>
        </xdr:from>
        <xdr:to>
          <xdr:col>3</xdr:col>
          <xdr:colOff>19368</xdr:colOff>
          <xdr:row>11</xdr:row>
          <xdr:rowOff>247650</xdr:rowOff>
        </xdr:to>
        <xdr:sp>
          <xdr:nvSpPr>
            <xdr:cNvPr id="2049" name="Check Box 1" hidden="1">
              <a:extLst>
                <a:ext uri="{63B3BB69-23CF-44E3-9099-C40C66FF867C}">
                  <a14:compatExt spid="_x0000_s2049"/>
                </a:ext>
              </a:extLst>
            </xdr:cNvPr>
            <xdr:cNvSpPr/>
          </xdr:nvSpPr>
          <xdr:spPr>
            <a:xfrm>
              <a:off x="1456690" y="5183505"/>
              <a:ext cx="995680" cy="238125"/>
            </a:xfrm>
            <a:prstGeom prst="rect">
              <a:avLst/>
            </a:prstGeom>
          </xdr:spPr>
          <xdr:txBody>
            <a:bodyPr vertOverflow="clip" wrap="square" lIns="45720" tIns="41148" rIns="0" bIns="41148" anchor="ctr" upright="1"/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</a:rPr>
                <a:t>ebank网银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32808</xdr:colOff>
          <xdr:row>11</xdr:row>
          <xdr:rowOff>296863</xdr:rowOff>
        </xdr:from>
        <xdr:to>
          <xdr:col>3</xdr:col>
          <xdr:colOff>9313</xdr:colOff>
          <xdr:row>11</xdr:row>
          <xdr:rowOff>534988</xdr:rowOff>
        </xdr:to>
        <xdr:sp>
          <xdr:nvSpPr>
            <xdr:cNvPr id="2050" name="Check Box 2" hidden="1">
              <a:extLst>
                <a:ext uri="{63B3BB69-23CF-44E3-9099-C40C66FF867C}">
                  <a14:compatExt spid="_x0000_s2050"/>
                </a:ext>
              </a:extLst>
            </xdr:cNvPr>
            <xdr:cNvSpPr/>
          </xdr:nvSpPr>
          <xdr:spPr>
            <a:xfrm>
              <a:off x="1446530" y="5470525"/>
              <a:ext cx="995680" cy="238125"/>
            </a:xfrm>
            <a:prstGeom prst="rect">
              <a:avLst/>
            </a:prstGeom>
          </xdr:spPr>
          <xdr:txBody>
            <a:bodyPr vertOverflow="clip" wrap="square" lIns="45720" tIns="41148" rIns="0" bIns="41148" anchor="ctr" upright="1"/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</a:rPr>
                <a:t>cheque 支票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37042</xdr:colOff>
          <xdr:row>11</xdr:row>
          <xdr:rowOff>551392</xdr:rowOff>
        </xdr:from>
        <xdr:to>
          <xdr:col>3</xdr:col>
          <xdr:colOff>12912</xdr:colOff>
          <xdr:row>11</xdr:row>
          <xdr:rowOff>789517</xdr:rowOff>
        </xdr:to>
        <xdr:sp>
          <xdr:nvSpPr>
            <xdr:cNvPr id="2051" name="Check Box 3" hidden="1">
              <a:extLst>
                <a:ext uri="{63B3BB69-23CF-44E3-9099-C40C66FF867C}">
                  <a14:compatExt spid="_x0000_s2051"/>
                </a:ext>
              </a:extLst>
            </xdr:cNvPr>
            <xdr:cNvSpPr/>
          </xdr:nvSpPr>
          <xdr:spPr>
            <a:xfrm>
              <a:off x="1450975" y="5725160"/>
              <a:ext cx="995045" cy="238125"/>
            </a:xfrm>
            <a:prstGeom prst="rect">
              <a:avLst/>
            </a:prstGeom>
          </xdr:spPr>
          <xdr:txBody>
            <a:bodyPr vertOverflow="clip" wrap="square" lIns="45720" tIns="41148" rIns="0" bIns="41148" anchor="ctr" upright="1"/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 panose="020B0503020204020204" charset="-122"/>
                  <a:ea typeface="Microsoft YaHei UI" panose="020B0503020204020204" charset="-122"/>
                </a:rPr>
                <a:t>cash 现金</a:t>
              </a:r>
              <a:endParaRPr lang="zh-CN" altLang="en-US" sz="900" b="0" i="0" u="none" strike="noStrike" baseline="0">
                <a:solidFill>
                  <a:srgbClr val="000000"/>
                </a:solidFill>
                <a:latin typeface="Microsoft YaHei UI" panose="020B0503020204020204" charset="-122"/>
                <a:ea typeface="Microsoft YaHei UI" panose="020B0503020204020204" charset="-122"/>
              </a:endParaRP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5" Type="http://schemas.openxmlformats.org/officeDocument/2006/relationships/ctrlProp" Target="../ctrlProps/ctrlProp3.xml"/><Relationship Id="rId4" Type="http://schemas.openxmlformats.org/officeDocument/2006/relationships/ctrlProp" Target="../ctrlProps/ctrlProp2.xml"/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3"/>
  <sheetViews>
    <sheetView showGridLines="0" showZeros="0" workbookViewId="0">
      <selection activeCell="I9" sqref="I9:J9"/>
    </sheetView>
  </sheetViews>
  <sheetFormatPr defaultColWidth="9" defaultRowHeight="12.75"/>
  <cols>
    <col min="1" max="1" width="12.5714285714286" style="1" customWidth="1"/>
    <col min="2" max="2" width="4" style="1" customWidth="1"/>
    <col min="3" max="3" width="5.42857142857143" style="1" customWidth="1"/>
    <col min="4" max="4" width="11" style="1" customWidth="1"/>
    <col min="5" max="5" width="3.71428571428571" style="1" customWidth="1"/>
    <col min="6" max="6" width="8.14285714285714" style="1" customWidth="1"/>
    <col min="7" max="7" width="7" style="1" customWidth="1"/>
    <col min="8" max="8" width="5.57142857142857" style="1" customWidth="1"/>
    <col min="9" max="9" width="8.57142857142857" style="1" customWidth="1"/>
    <col min="10" max="10" width="5.14285714285714" style="1" customWidth="1"/>
    <col min="11" max="11" width="4.71428571428571" style="1" customWidth="1"/>
    <col min="12" max="12" width="9.85714285714286" style="1" customWidth="1"/>
    <col min="13" max="13" width="4.14285714285714" style="1" customWidth="1"/>
    <col min="15" max="15" width="6" style="1" customWidth="1"/>
  </cols>
  <sheetData>
    <row r="1" ht="24" customHeight="1" spans="1:15">
      <c r="A1" s="79" t="s">
        <v>0</v>
      </c>
    </row>
    <row r="2" ht="17.25" customHeight="1" spans="1:15">
      <c r="A2" s="80" t="s">
        <v>1</v>
      </c>
      <c r="B2" s="81"/>
      <c r="C2" s="31"/>
      <c r="D2" s="31"/>
      <c r="E2" s="31"/>
      <c r="F2" s="31"/>
      <c r="G2" s="82" t="s">
        <v>2</v>
      </c>
      <c r="H2" s="83"/>
      <c r="I2" s="31"/>
      <c r="J2" s="31"/>
      <c r="K2" s="31"/>
      <c r="L2" s="84" t="s">
        <v>3</v>
      </c>
      <c r="M2" s="85"/>
      <c r="N2" s="86"/>
    </row>
    <row r="3" ht="22.5" customHeight="1" spans="1:15">
      <c r="A3" s="87" t="s">
        <v>4</v>
      </c>
      <c r="B3" s="88" t="s">
        <v>5</v>
      </c>
      <c r="C3" s="36"/>
      <c r="D3" s="36"/>
      <c r="E3" s="36"/>
      <c r="F3" s="36"/>
      <c r="G3" s="36"/>
      <c r="H3" s="37"/>
      <c r="I3" s="89" t="s">
        <v>6</v>
      </c>
      <c r="J3" s="39"/>
      <c r="K3" s="90" t="s">
        <v>7</v>
      </c>
      <c r="L3" s="40"/>
      <c r="M3" s="40"/>
      <c r="N3" s="91"/>
    </row>
    <row r="4" ht="22.5" customHeight="1" spans="1:15">
      <c r="A4" s="92"/>
      <c r="B4" s="93"/>
      <c r="C4" s="44"/>
      <c r="D4" s="44"/>
      <c r="E4" s="44"/>
      <c r="F4" s="44"/>
      <c r="G4" s="44"/>
      <c r="H4" s="45"/>
      <c r="I4" s="94"/>
      <c r="J4" s="45"/>
      <c r="K4" s="95"/>
      <c r="L4" s="44"/>
      <c r="M4" s="44"/>
      <c r="N4" s="54"/>
    </row>
    <row r="5" ht="22.5" customHeight="1" spans="1:15">
      <c r="A5" s="92"/>
      <c r="B5" s="93"/>
      <c r="C5" s="44"/>
      <c r="D5" s="44"/>
      <c r="E5" s="44"/>
      <c r="F5" s="44"/>
      <c r="G5" s="44"/>
      <c r="H5" s="45"/>
      <c r="I5" s="94"/>
      <c r="J5" s="45"/>
      <c r="K5" s="95"/>
      <c r="L5" s="44"/>
      <c r="M5" s="44"/>
      <c r="N5" s="54"/>
      <c r="O5" t="s">
        <v>8</v>
      </c>
    </row>
    <row r="6" ht="22.5" customHeight="1" spans="1:15">
      <c r="A6" s="92"/>
      <c r="B6" s="93"/>
      <c r="C6" s="44"/>
      <c r="D6" s="44"/>
      <c r="E6" s="44"/>
      <c r="F6" s="44"/>
      <c r="G6" s="44"/>
      <c r="H6" s="45"/>
      <c r="I6" s="94"/>
      <c r="J6" s="45"/>
      <c r="K6" s="95"/>
      <c r="L6" s="44"/>
      <c r="M6" s="44"/>
      <c r="N6" s="54"/>
      <c r="O6" t="s">
        <v>9</v>
      </c>
    </row>
    <row r="7" ht="22.5" customHeight="1" spans="1:15">
      <c r="A7" s="92"/>
      <c r="B7" s="93"/>
      <c r="C7" s="44"/>
      <c r="D7" s="44"/>
      <c r="E7" s="44"/>
      <c r="F7" s="44"/>
      <c r="G7" s="44"/>
      <c r="H7" s="45"/>
      <c r="I7" s="94"/>
      <c r="J7" s="45"/>
      <c r="K7" s="95"/>
      <c r="L7" s="44"/>
      <c r="M7" s="44"/>
      <c r="N7" s="54"/>
      <c r="O7" s="96"/>
    </row>
    <row r="8" ht="22.5" customHeight="1" spans="1:15">
      <c r="A8" s="92"/>
      <c r="B8" s="93"/>
      <c r="C8" s="44"/>
      <c r="D8" s="44"/>
      <c r="E8" s="44"/>
      <c r="F8" s="44"/>
      <c r="G8" s="44"/>
      <c r="H8" s="45"/>
      <c r="I8" s="94"/>
      <c r="J8" s="45"/>
      <c r="K8" s="95"/>
      <c r="L8" s="44"/>
      <c r="M8" s="44"/>
      <c r="N8" s="54"/>
      <c r="O8" t="s">
        <v>10</v>
      </c>
    </row>
    <row r="9" ht="22.5" customHeight="1" spans="1:15">
      <c r="A9" s="92"/>
      <c r="B9" s="93"/>
      <c r="C9" s="44"/>
      <c r="D9" s="44"/>
      <c r="E9" s="44"/>
      <c r="F9" s="44"/>
      <c r="G9" s="44"/>
      <c r="H9" s="45"/>
      <c r="I9" s="94"/>
      <c r="J9" s="45"/>
      <c r="K9" s="95"/>
      <c r="L9" s="44"/>
      <c r="M9" s="44"/>
      <c r="N9" s="54"/>
    </row>
    <row r="10" ht="22.5" customHeight="1" spans="1:15">
      <c r="A10" s="92"/>
      <c r="B10" s="93"/>
      <c r="C10" s="44"/>
      <c r="D10" s="44"/>
      <c r="E10" s="44"/>
      <c r="F10" s="44"/>
      <c r="G10" s="44"/>
      <c r="H10" s="45"/>
      <c r="I10" s="94"/>
      <c r="J10" s="45"/>
      <c r="K10" s="95"/>
      <c r="L10" s="44"/>
      <c r="M10" s="44"/>
      <c r="N10" s="54"/>
    </row>
    <row r="11" ht="24" customHeight="1" spans="1:15">
      <c r="A11" s="97" t="s">
        <v>11</v>
      </c>
      <c r="B11" s="98"/>
      <c r="C11" s="99">
        <f>SUM(I4:J10)</f>
        <v>0</v>
      </c>
      <c r="D11" s="100"/>
      <c r="E11" s="101"/>
      <c r="F11" s="102" t="s">
        <v>12</v>
      </c>
      <c r="G11" s="103" t="str">
        <f>IF(ROUND(C11,2)=0,"",IF(C11&lt;0,"负","")&amp;IF(ABS(C11)&gt;=1,TEXT(INT(ROUND(ABS(C11),2)),"[dbnum2]")&amp;"元","")&amp;SUBSTITUTE(SUBSTITUTE(TEXT(RIGHT(DOLLAR(C11,2),2),"[dbnum2]0角0分;;整"),"零角",IF(C11^2&lt;1,,"零")),"零分",""))</f>
        <v/>
      </c>
      <c r="H11" s="51"/>
      <c r="I11" s="51"/>
      <c r="J11" s="51"/>
      <c r="K11" s="51"/>
      <c r="L11" s="51"/>
      <c r="M11" s="51"/>
      <c r="N11" s="104"/>
    </row>
    <row r="12" ht="20.25" customHeight="1" spans="1:15">
      <c r="A12" s="105" t="s">
        <v>13</v>
      </c>
      <c r="B12" s="106" t="s">
        <v>14</v>
      </c>
      <c r="C12" s="45"/>
      <c r="D12" s="107"/>
      <c r="E12" s="106" t="s">
        <v>15</v>
      </c>
      <c r="F12" s="45"/>
      <c r="G12" s="108"/>
      <c r="H12" s="51"/>
      <c r="I12" s="51"/>
      <c r="J12" s="51"/>
      <c r="K12" s="51"/>
      <c r="L12" s="51"/>
      <c r="M12" s="51"/>
      <c r="N12" s="104"/>
    </row>
    <row r="13" ht="20.25" customHeight="1" spans="1:15">
      <c r="A13" s="109"/>
      <c r="B13" s="110" t="s">
        <v>16</v>
      </c>
      <c r="C13" s="111"/>
      <c r="D13" s="112"/>
      <c r="E13" s="76"/>
      <c r="F13" s="76"/>
      <c r="G13" s="76"/>
      <c r="H13" s="76"/>
      <c r="I13" s="76"/>
      <c r="J13" s="76"/>
      <c r="K13" s="76"/>
      <c r="L13" s="76"/>
      <c r="M13" s="76"/>
      <c r="N13" s="77"/>
    </row>
    <row r="14" spans="1:15">
      <c r="A14" s="16"/>
      <c r="B14" s="16"/>
      <c r="C14" s="16"/>
      <c r="D14" s="16"/>
      <c r="E14" s="113"/>
      <c r="F14" s="113"/>
      <c r="G14" s="113"/>
      <c r="H14" s="113"/>
      <c r="I14" s="113"/>
      <c r="J14" s="113"/>
      <c r="K14" s="113"/>
      <c r="L14" s="113"/>
    </row>
    <row r="15" ht="30" customHeight="1" spans="1:15">
      <c r="A15" s="114" t="s">
        <v>17</v>
      </c>
      <c r="B15" s="114"/>
      <c r="C15" s="114"/>
      <c r="D15" s="114"/>
      <c r="E15" s="114"/>
      <c r="F15" s="114"/>
      <c r="G15" s="114"/>
      <c r="H15" s="114" t="s">
        <v>18</v>
      </c>
      <c r="I15" s="114"/>
      <c r="J15" s="114"/>
      <c r="K15" s="114"/>
      <c r="L15" s="115" t="s">
        <v>19</v>
      </c>
    </row>
    <row r="16" ht="19.5" customHeight="1" spans="1:15">
      <c r="A16" s="116"/>
      <c r="B16" s="116"/>
      <c r="C16" s="116"/>
      <c r="D16" s="116"/>
      <c r="E16" s="116"/>
      <c r="F16" s="116"/>
      <c r="G16" s="116"/>
      <c r="H16" s="116"/>
      <c r="I16" s="116"/>
      <c r="J16" s="116"/>
      <c r="K16" s="116"/>
      <c r="L16" s="116"/>
      <c r="M16" s="117"/>
      <c r="N16" s="117"/>
      <c r="O16" s="117"/>
    </row>
    <row r="17" hidden="1"/>
    <row r="18" ht="23.25" hidden="1" customHeight="1" spans="1:14">
      <c r="A18" s="79" t="s">
        <v>0</v>
      </c>
    </row>
    <row r="19" ht="30.75" hidden="1" customHeight="1" spans="1:14">
      <c r="A19" s="80" t="s">
        <v>1</v>
      </c>
      <c r="B19" s="81" t="s">
        <v>20</v>
      </c>
      <c r="C19" s="31"/>
      <c r="D19" s="31"/>
      <c r="E19" s="31"/>
      <c r="F19" s="31"/>
      <c r="G19" s="82" t="s">
        <v>2</v>
      </c>
      <c r="H19" s="83"/>
      <c r="I19" s="31"/>
      <c r="J19" s="31"/>
      <c r="K19" s="31"/>
      <c r="L19" s="84" t="s">
        <v>3</v>
      </c>
      <c r="M19" s="85"/>
      <c r="N19" s="86"/>
    </row>
    <row r="20" ht="28.5" hidden="1" customHeight="1" spans="1:14">
      <c r="A20" s="87" t="s">
        <v>4</v>
      </c>
      <c r="B20" s="88" t="s">
        <v>5</v>
      </c>
      <c r="C20" s="36"/>
      <c r="D20" s="36"/>
      <c r="E20" s="36"/>
      <c r="F20" s="36"/>
      <c r="G20" s="36"/>
      <c r="H20" s="37"/>
      <c r="I20" s="89" t="s">
        <v>6</v>
      </c>
      <c r="J20" s="39"/>
      <c r="K20" s="90" t="s">
        <v>7</v>
      </c>
      <c r="L20" s="40"/>
      <c r="M20" s="40"/>
      <c r="N20" s="91"/>
    </row>
    <row r="21" ht="28.5" hidden="1" customHeight="1" spans="1:14">
      <c r="A21" s="92"/>
      <c r="B21" s="93"/>
      <c r="C21" s="44"/>
      <c r="D21" s="44"/>
      <c r="E21" s="44"/>
      <c r="F21" s="44"/>
      <c r="G21" s="44"/>
      <c r="H21" s="45"/>
      <c r="I21" s="94"/>
      <c r="J21" s="45"/>
      <c r="K21" s="95"/>
      <c r="L21" s="44"/>
      <c r="M21" s="44"/>
      <c r="N21" s="54"/>
    </row>
    <row r="22" ht="28.5" hidden="1" customHeight="1" spans="1:14">
      <c r="A22" s="92"/>
      <c r="B22" s="93"/>
      <c r="C22" s="44"/>
      <c r="D22" s="44"/>
      <c r="E22" s="44"/>
      <c r="F22" s="44"/>
      <c r="G22" s="44"/>
      <c r="H22" s="45"/>
      <c r="I22" s="94"/>
      <c r="J22" s="45"/>
      <c r="K22" s="95"/>
      <c r="L22" s="44"/>
      <c r="M22" s="44"/>
      <c r="N22" s="54"/>
    </row>
    <row r="23" ht="28.5" hidden="1" customHeight="1" spans="1:14">
      <c r="A23" s="92"/>
      <c r="B23" s="93"/>
      <c r="C23" s="44"/>
      <c r="D23" s="44"/>
      <c r="E23" s="44"/>
      <c r="F23" s="44"/>
      <c r="G23" s="44"/>
      <c r="H23" s="45"/>
      <c r="I23" s="94"/>
      <c r="J23" s="45"/>
      <c r="K23" s="95"/>
      <c r="L23" s="44"/>
      <c r="M23" s="44"/>
      <c r="N23" s="54"/>
    </row>
    <row r="24" ht="28.5" hidden="1" customHeight="1" spans="1:14">
      <c r="A24" s="92"/>
      <c r="B24" s="93"/>
      <c r="C24" s="44"/>
      <c r="D24" s="44"/>
      <c r="E24" s="44"/>
      <c r="F24" s="44"/>
      <c r="G24" s="44"/>
      <c r="H24" s="45"/>
      <c r="I24" s="94"/>
      <c r="J24" s="45"/>
      <c r="K24" s="95"/>
      <c r="L24" s="44"/>
      <c r="M24" s="44"/>
      <c r="N24" s="54"/>
    </row>
    <row r="25" ht="28.5" hidden="1" customHeight="1" spans="1:14">
      <c r="A25" s="92"/>
      <c r="B25" s="93"/>
      <c r="C25" s="44"/>
      <c r="D25" s="44"/>
      <c r="E25" s="44"/>
      <c r="F25" s="44"/>
      <c r="G25" s="44"/>
      <c r="H25" s="45"/>
      <c r="I25" s="94"/>
      <c r="J25" s="45"/>
      <c r="K25" s="95"/>
      <c r="L25" s="44"/>
      <c r="M25" s="44"/>
      <c r="N25" s="54"/>
    </row>
    <row r="26" ht="28.5" hidden="1" customHeight="1" spans="1:14">
      <c r="A26" s="92"/>
      <c r="B26" s="93"/>
      <c r="C26" s="44"/>
      <c r="D26" s="44"/>
      <c r="E26" s="44"/>
      <c r="F26" s="44"/>
      <c r="G26" s="44"/>
      <c r="H26" s="45"/>
      <c r="I26" s="94"/>
      <c r="J26" s="45"/>
      <c r="K26" s="95"/>
      <c r="L26" s="44"/>
      <c r="M26" s="44"/>
      <c r="N26" s="54"/>
    </row>
    <row r="27" ht="28.5" hidden="1" customHeight="1" spans="1:14">
      <c r="A27" s="92"/>
      <c r="B27" s="93"/>
      <c r="C27" s="44"/>
      <c r="D27" s="44"/>
      <c r="E27" s="44"/>
      <c r="F27" s="44"/>
      <c r="G27" s="44"/>
      <c r="H27" s="45"/>
      <c r="I27" s="94"/>
      <c r="J27" s="45"/>
      <c r="K27" s="95"/>
      <c r="L27" s="44"/>
      <c r="M27" s="44"/>
      <c r="N27" s="54"/>
    </row>
    <row r="28" ht="28.5" hidden="1" customHeight="1" spans="1:14">
      <c r="A28" s="97" t="s">
        <v>11</v>
      </c>
      <c r="B28" s="98" t="s">
        <v>21</v>
      </c>
      <c r="C28" s="99">
        <f>SUM(I21:J27)</f>
        <v>0</v>
      </c>
      <c r="D28" s="100"/>
      <c r="E28" s="101"/>
      <c r="F28" s="102" t="s">
        <v>12</v>
      </c>
      <c r="G28" s="103" t="str">
        <f>IF(ROUND(C28,2)=0,"",IF(C28&lt;0,"负","")&amp;IF(ABS(C28)&gt;=1,TEXT(INT(ROUND(ABS(C28),2)),"[dbnum2]")&amp;"缅元","")&amp;SUBSTITUTE(SUBSTITUTE(TEXT(RIGHT(DOLLAR(C28,2),2),"[dbnum2]0角0分;;整"),"零角",IF(C28^2&lt;1,,"零")),"零分",""))</f>
        <v/>
      </c>
      <c r="H28" s="51"/>
      <c r="I28" s="51"/>
      <c r="J28" s="51"/>
      <c r="K28" s="51"/>
      <c r="L28" s="51"/>
      <c r="M28" s="51"/>
      <c r="N28" s="104"/>
    </row>
    <row r="29" ht="24" hidden="1" customHeight="1" spans="1:14">
      <c r="A29" s="105" t="s">
        <v>13</v>
      </c>
      <c r="B29" s="106" t="s">
        <v>14</v>
      </c>
      <c r="C29" s="45"/>
      <c r="D29" s="107"/>
      <c r="E29" s="106" t="s">
        <v>15</v>
      </c>
      <c r="F29" s="45"/>
      <c r="G29" s="108"/>
      <c r="H29" s="51"/>
      <c r="I29" s="51"/>
      <c r="J29" s="51"/>
      <c r="K29" s="51"/>
      <c r="L29" s="51"/>
      <c r="M29" s="51"/>
      <c r="N29" s="104"/>
    </row>
    <row r="30" ht="24" hidden="1" customHeight="1" spans="1:14">
      <c r="A30" s="109"/>
      <c r="B30" s="110" t="s">
        <v>16</v>
      </c>
      <c r="C30" s="111"/>
      <c r="D30" s="112"/>
      <c r="E30" s="76"/>
      <c r="F30" s="76"/>
      <c r="G30" s="76"/>
      <c r="H30" s="76"/>
      <c r="I30" s="76"/>
      <c r="J30" s="76"/>
      <c r="K30" s="76"/>
      <c r="L30" s="76"/>
      <c r="M30" s="76"/>
      <c r="N30" s="77"/>
    </row>
    <row r="31" hidden="1" spans="1:14">
      <c r="A31" s="16"/>
      <c r="B31" s="16"/>
      <c r="C31" s="16"/>
      <c r="D31" s="16"/>
      <c r="E31" s="113"/>
      <c r="F31" s="113"/>
      <c r="G31" s="113"/>
      <c r="H31" s="113"/>
      <c r="I31" s="113"/>
      <c r="J31" s="113"/>
      <c r="K31" s="113"/>
      <c r="L31" s="113"/>
    </row>
    <row r="32" hidden="1" spans="1:14">
      <c r="A32" s="114" t="s">
        <v>17</v>
      </c>
      <c r="B32" s="114"/>
      <c r="C32" s="114"/>
      <c r="D32" s="114"/>
      <c r="E32" s="114"/>
      <c r="F32" s="114"/>
      <c r="G32" s="114"/>
      <c r="H32" s="114" t="s">
        <v>18</v>
      </c>
      <c r="I32" s="114"/>
      <c r="J32" s="114"/>
      <c r="K32" s="114"/>
      <c r="L32" s="115" t="s">
        <v>19</v>
      </c>
    </row>
    <row r="33" hidden="1" spans="1:14">
      <c r="A33" s="116"/>
      <c r="B33" s="116"/>
      <c r="C33" s="116"/>
      <c r="D33" s="116"/>
      <c r="E33" s="116"/>
      <c r="F33" s="116"/>
      <c r="G33" s="116"/>
      <c r="H33" s="116"/>
      <c r="I33" s="116"/>
      <c r="J33" s="116"/>
      <c r="K33" s="116"/>
      <c r="L33" s="116"/>
      <c r="M33" s="117"/>
      <c r="N33" s="117"/>
    </row>
  </sheetData>
  <mergeCells count="70">
    <mergeCell ref="A1:L1"/>
    <mergeCell ref="B2:F2"/>
    <mergeCell ref="H2:K2"/>
    <mergeCell ref="M2:N2"/>
    <mergeCell ref="B3:H3"/>
    <mergeCell ref="I3:J3"/>
    <mergeCell ref="K3:N3"/>
    <mergeCell ref="B4:H4"/>
    <mergeCell ref="I4:J4"/>
    <mergeCell ref="K4:N4"/>
    <mergeCell ref="B5:H5"/>
    <mergeCell ref="I5:J5"/>
    <mergeCell ref="K5:N5"/>
    <mergeCell ref="B6:H6"/>
    <mergeCell ref="I6:J6"/>
    <mergeCell ref="K6:N6"/>
    <mergeCell ref="B7:H7"/>
    <mergeCell ref="I7:J7"/>
    <mergeCell ref="K7:N7"/>
    <mergeCell ref="B8:H8"/>
    <mergeCell ref="I8:J8"/>
    <mergeCell ref="K8:N8"/>
    <mergeCell ref="B9:H9"/>
    <mergeCell ref="I9:J9"/>
    <mergeCell ref="K9:N9"/>
    <mergeCell ref="B10:H10"/>
    <mergeCell ref="I10:J10"/>
    <mergeCell ref="K10:N10"/>
    <mergeCell ref="C11:E11"/>
    <mergeCell ref="G11:N11"/>
    <mergeCell ref="B12:C12"/>
    <mergeCell ref="E12:F12"/>
    <mergeCell ref="G12:N12"/>
    <mergeCell ref="D13:N13"/>
    <mergeCell ref="A18:L18"/>
    <mergeCell ref="B19:F19"/>
    <mergeCell ref="H19:K19"/>
    <mergeCell ref="M19:N19"/>
    <mergeCell ref="B20:H20"/>
    <mergeCell ref="I20:J20"/>
    <mergeCell ref="K20:N20"/>
    <mergeCell ref="B21:H21"/>
    <mergeCell ref="I21:J21"/>
    <mergeCell ref="K21:N21"/>
    <mergeCell ref="B22:H22"/>
    <mergeCell ref="I22:J22"/>
    <mergeCell ref="K22:N22"/>
    <mergeCell ref="B23:H23"/>
    <mergeCell ref="I23:J23"/>
    <mergeCell ref="K23:N23"/>
    <mergeCell ref="B24:H24"/>
    <mergeCell ref="I24:J24"/>
    <mergeCell ref="K24:N24"/>
    <mergeCell ref="B25:H25"/>
    <mergeCell ref="I25:J25"/>
    <mergeCell ref="K25:N25"/>
    <mergeCell ref="B26:H26"/>
    <mergeCell ref="I26:J26"/>
    <mergeCell ref="K26:N26"/>
    <mergeCell ref="B27:H27"/>
    <mergeCell ref="I27:J27"/>
    <mergeCell ref="K27:N27"/>
    <mergeCell ref="C28:E28"/>
    <mergeCell ref="G28:N28"/>
    <mergeCell ref="B29:C29"/>
    <mergeCell ref="E29:F29"/>
    <mergeCell ref="G29:N29"/>
    <mergeCell ref="D30:N30"/>
    <mergeCell ref="A12:A13"/>
    <mergeCell ref="A29:A30"/>
  </mergeCells>
  <pageMargins left="1.14" right="0.511811023622047" top="0.16" bottom="0.748031496062992" header="0.31496062992126" footer="0.31496062992126"/>
  <pageSetup paperSize="9" scale="90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6"/>
  <sheetViews>
    <sheetView showGridLines="0" showZeros="0" tabSelected="1" zoomScaleSheetLayoutView="90" workbookViewId="0">
      <selection activeCell="C9" sqref="C9:G9"/>
    </sheetView>
  </sheetViews>
  <sheetFormatPr defaultColWidth="9" defaultRowHeight="13.1"/>
  <cols>
    <col min="1" max="1" width="9.06666666666667" style="18" customWidth="1"/>
    <col min="2" max="2" width="12.1428571428571" style="18" customWidth="1"/>
    <col min="3" max="3" width="15.2857142857143" style="18" customWidth="1"/>
    <col min="4" max="4" width="9.78095238095238" style="18" customWidth="1"/>
    <col min="5" max="5" width="8.28571428571429" style="18" customWidth="1"/>
    <col min="6" max="6" width="7.20952380952381" style="18" customWidth="1"/>
    <col min="7" max="7" width="16.1428571428571" style="18" customWidth="1"/>
    <col min="8" max="8" width="10.352380952381" style="18" customWidth="1"/>
    <col min="9" max="9" width="9.42857142857143" style="18" customWidth="1"/>
    <col min="10" max="10" width="4.71428571428571" style="18" customWidth="1"/>
    <col min="11" max="11" width="5.42857142857143" style="18" customWidth="1"/>
    <col min="12" max="12" width="2.42857142857143" style="18" customWidth="1"/>
    <col min="13" max="13" width="9" style="18" customWidth="1"/>
    <col min="14" max="14" width="6" style="18" customWidth="1"/>
    <col min="15" max="16384" width="9" style="18" customWidth="1"/>
  </cols>
  <sheetData>
    <row r="1" ht="27.75" customHeight="1" spans="1:13">
      <c r="A1" s="19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1"/>
    </row>
    <row r="2" s="17" customFormat="1" ht="17.6" customHeight="1" spans="1:13">
      <c r="A2" s="22" t="s">
        <v>22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4"/>
    </row>
    <row r="3" s="17" customFormat="1" ht="26.65" customHeight="1" spans="1:13">
      <c r="A3" s="22" t="s">
        <v>23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4"/>
    </row>
    <row r="4" s="17" customFormat="1" ht="26.65" customHeight="1" spans="1:13">
      <c r="A4" s="22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4"/>
    </row>
    <row r="5" ht="28.15" customHeight="1" spans="1:13">
      <c r="A5" s="22" t="s">
        <v>24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5"/>
      <c r="M5" s="26"/>
    </row>
    <row r="6" ht="21.4" customHeight="1" spans="1:13">
      <c r="A6" s="22" t="s">
        <v>25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5"/>
      <c r="M6" s="26"/>
    </row>
    <row r="7" ht="25.9" customHeight="1" spans="1:13">
      <c r="A7" s="27"/>
      <c r="B7" s="28"/>
      <c r="C7" s="28"/>
      <c r="D7" s="28"/>
      <c r="E7" s="28"/>
      <c r="F7" s="28"/>
      <c r="I7" s="29" t="s">
        <v>26</v>
      </c>
      <c r="J7" s="30"/>
      <c r="K7" s="31"/>
      <c r="L7" s="31"/>
      <c r="M7" s="32"/>
    </row>
    <row r="8" ht="33.4" customHeight="1" spans="1:13">
      <c r="A8" s="33" t="s">
        <v>27</v>
      </c>
      <c r="B8" s="34" t="s">
        <v>28</v>
      </c>
      <c r="C8" s="35" t="s">
        <v>29</v>
      </c>
      <c r="D8" s="36"/>
      <c r="E8" s="36"/>
      <c r="F8" s="36"/>
      <c r="G8" s="37"/>
      <c r="H8" s="38" t="s">
        <v>30</v>
      </c>
      <c r="I8" s="39"/>
      <c r="J8" s="38" t="s">
        <v>31</v>
      </c>
      <c r="K8" s="40"/>
      <c r="L8" s="40"/>
      <c r="M8" s="39"/>
    </row>
    <row r="9" ht="79.5" customHeight="1" spans="1:13">
      <c r="A9" s="41">
        <v>1</v>
      </c>
      <c r="B9" s="42"/>
      <c r="C9" s="43"/>
      <c r="D9" s="44"/>
      <c r="E9" s="44"/>
      <c r="F9" s="44"/>
      <c r="G9" s="45"/>
      <c r="H9" s="46"/>
      <c r="I9" s="45"/>
      <c r="J9" s="47"/>
      <c r="K9" s="44"/>
      <c r="L9" s="44"/>
      <c r="M9" s="45"/>
    </row>
    <row r="10" ht="79.5" customHeight="1" spans="1:13">
      <c r="A10" s="41">
        <v>2</v>
      </c>
      <c r="B10" s="42"/>
      <c r="C10" s="48"/>
      <c r="D10" s="44"/>
      <c r="E10" s="44"/>
      <c r="F10" s="44"/>
      <c r="G10" s="45"/>
      <c r="H10" s="49"/>
      <c r="I10" s="45"/>
      <c r="J10" s="47"/>
      <c r="K10" s="44"/>
      <c r="L10" s="44"/>
      <c r="M10" s="45"/>
    </row>
    <row r="11" ht="40.9" customHeight="1" spans="1:13">
      <c r="A11" s="50" t="s">
        <v>32</v>
      </c>
      <c r="B11" s="51"/>
      <c r="C11" s="51"/>
      <c r="D11" s="51"/>
      <c r="E11" s="51"/>
      <c r="F11" s="51"/>
      <c r="G11" s="52"/>
      <c r="H11" s="53">
        <f>SUM(H9:I10)</f>
        <v>0</v>
      </c>
      <c r="I11" s="44"/>
      <c r="J11" s="44"/>
      <c r="K11" s="44"/>
      <c r="L11" s="44"/>
      <c r="M11" s="54"/>
    </row>
    <row r="12" ht="64.5" customHeight="1" spans="1:13">
      <c r="A12" s="55" t="s">
        <v>33</v>
      </c>
      <c r="B12" s="56"/>
      <c r="C12" s="56"/>
      <c r="D12" s="57" t="s">
        <v>34</v>
      </c>
      <c r="E12" s="58" t="s">
        <v>35</v>
      </c>
      <c r="F12" s="52"/>
      <c r="G12" s="59" t="s">
        <v>36</v>
      </c>
      <c r="H12" s="60" t="str">
        <f>NUMBERSTRING(INT(H11),2)&amp;IF(E12="PKR/卢比","卢比","元")&amp;IF(ROUND(H11,2)=INT(H11),"整",IF(INT(MOD(ROUND(H11,2),1)*10)&gt;0,NUMBERSTRING(INT(MOD(ROUND(H11,2),1)*10),2)&amp;"角","")&amp;IF(MOD(INT(ROUND(H11,2)*100),10)&gt;0,NUMBERSTRING(MOD(INT(ROUND(H11,2)*100),10),2)&amp;"分",""))</f>
        <v>零卢比整</v>
      </c>
      <c r="I12" s="51"/>
      <c r="J12" s="51"/>
      <c r="K12" s="51"/>
      <c r="L12" s="51"/>
      <c r="M12" s="52"/>
    </row>
    <row r="13" ht="51.85" customHeight="1" spans="1:13">
      <c r="A13" s="61" t="s">
        <v>37</v>
      </c>
      <c r="B13" s="62"/>
      <c r="C13" s="63" t="s">
        <v>38</v>
      </c>
      <c r="D13" s="44"/>
      <c r="E13" s="44"/>
      <c r="F13" s="45"/>
      <c r="G13" s="64" t="s">
        <v>39</v>
      </c>
      <c r="H13" s="65"/>
      <c r="I13" s="51"/>
      <c r="J13" s="51"/>
      <c r="K13" s="51"/>
      <c r="L13" s="51"/>
      <c r="M13" s="52"/>
    </row>
    <row r="14" ht="51.85" customHeight="1" spans="1:13">
      <c r="A14" s="66"/>
      <c r="B14" s="67"/>
      <c r="C14" s="68"/>
      <c r="D14" s="44"/>
      <c r="E14" s="44"/>
      <c r="F14" s="45"/>
      <c r="G14" s="69" t="s">
        <v>40</v>
      </c>
      <c r="H14" s="70"/>
      <c r="I14" s="51"/>
      <c r="J14" s="51"/>
      <c r="K14" s="51"/>
      <c r="L14" s="51"/>
      <c r="M14" s="52"/>
    </row>
    <row r="15" ht="75.85" customHeight="1" spans="1:13">
      <c r="A15" s="71" t="s">
        <v>41</v>
      </c>
      <c r="B15" s="45"/>
      <c r="C15" s="72"/>
      <c r="D15" s="51"/>
      <c r="E15" s="52"/>
      <c r="F15" s="64" t="s">
        <v>42</v>
      </c>
      <c r="G15" s="45"/>
      <c r="H15" s="72"/>
      <c r="I15" s="51"/>
      <c r="J15" s="51"/>
      <c r="K15" s="51"/>
      <c r="L15" s="51"/>
      <c r="M15" s="52"/>
    </row>
    <row r="16" ht="75.85" customHeight="1" spans="1:13">
      <c r="A16" s="73" t="s">
        <v>43</v>
      </c>
      <c r="B16" s="74"/>
      <c r="C16" s="75"/>
      <c r="D16" s="76"/>
      <c r="E16" s="77"/>
      <c r="F16" s="78" t="s">
        <v>44</v>
      </c>
      <c r="G16" s="74"/>
      <c r="H16" s="75"/>
      <c r="I16" s="76"/>
      <c r="J16" s="76"/>
      <c r="K16" s="76"/>
      <c r="L16" s="76"/>
      <c r="M16" s="77"/>
    </row>
  </sheetData>
  <mergeCells count="28">
    <mergeCell ref="J7:M7"/>
    <mergeCell ref="C8:G8"/>
    <mergeCell ref="H8:I8"/>
    <mergeCell ref="J8:M8"/>
    <mergeCell ref="C9:G9"/>
    <mergeCell ref="H9:I9"/>
    <mergeCell ref="J9:M9"/>
    <mergeCell ref="C10:G10"/>
    <mergeCell ref="H10:I10"/>
    <mergeCell ref="J10:M10"/>
    <mergeCell ref="A11:G11"/>
    <mergeCell ref="H11:M11"/>
    <mergeCell ref="A12:B12"/>
    <mergeCell ref="E12:F12"/>
    <mergeCell ref="H12:M12"/>
    <mergeCell ref="C13:F13"/>
    <mergeCell ref="H13:M13"/>
    <mergeCell ref="C14:F14"/>
    <mergeCell ref="H14:M14"/>
    <mergeCell ref="A15:B15"/>
    <mergeCell ref="C15:E15"/>
    <mergeCell ref="F15:G15"/>
    <mergeCell ref="H15:M15"/>
    <mergeCell ref="A16:B16"/>
    <mergeCell ref="C16:E16"/>
    <mergeCell ref="F16:G16"/>
    <mergeCell ref="H16:M16"/>
    <mergeCell ref="A13:B14"/>
  </mergeCells>
  <dataValidations count="2">
    <dataValidation type="list" allowBlank="1" showInputMessage="1" showErrorMessage="1" sqref="E12">
      <formula1>"PKR/卢比,RMB/人民币"</formula1>
    </dataValidation>
    <dataValidation type="list" allowBlank="1" showInputMessage="1" showErrorMessage="1" sqref="B9:B10">
      <formula1>分类说明!$A$2:$A$22</formula1>
    </dataValidation>
  </dataValidations>
  <pageMargins left="0.38" right="0.23" top="0.79" bottom="0.748031496062992" header="0.4" footer="0.31496062992126"/>
  <pageSetup paperSize="9" scale="90" orientation="portrait"/>
  <headerFooter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name="Check Box 1" r:id="rId3">
              <controlPr defaultSize="0">
                <anchor moveWithCells="1">
                  <from>
                    <xdr:col>2</xdr:col>
                    <xdr:colOff>42545</xdr:colOff>
                    <xdr:row>11</xdr:row>
                    <xdr:rowOff>9525</xdr:rowOff>
                  </from>
                  <to>
                    <xdr:col>3</xdr:col>
                    <xdr:colOff>19050</xdr:colOff>
                    <xdr:row>11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name="Check Box 2" r:id="rId4">
              <controlPr defaultSize="0">
                <anchor moveWithCells="1">
                  <from>
                    <xdr:col>2</xdr:col>
                    <xdr:colOff>32385</xdr:colOff>
                    <xdr:row>11</xdr:row>
                    <xdr:rowOff>296545</xdr:rowOff>
                  </from>
                  <to>
                    <xdr:col>3</xdr:col>
                    <xdr:colOff>8890</xdr:colOff>
                    <xdr:row>11</xdr:row>
                    <xdr:rowOff>534670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name="Check Box 3" r:id="rId5">
              <controlPr defaultSize="0">
                <anchor moveWithCells="1">
                  <from>
                    <xdr:col>2</xdr:col>
                    <xdr:colOff>36830</xdr:colOff>
                    <xdr:row>11</xdr:row>
                    <xdr:rowOff>551180</xdr:rowOff>
                  </from>
                  <to>
                    <xdr:col>3</xdr:col>
                    <xdr:colOff>12700</xdr:colOff>
                    <xdr:row>11</xdr:row>
                    <xdr:rowOff>789305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21"/>
  <sheetViews>
    <sheetView showGridLines="0" workbookViewId="0">
      <selection activeCell="F20" sqref="F20"/>
    </sheetView>
  </sheetViews>
  <sheetFormatPr defaultColWidth="9" defaultRowHeight="13.5" outlineLevelCol="7"/>
  <cols>
    <col min="1" max="1" width="9.14285714285714" style="9" customWidth="1"/>
    <col min="2" max="2" width="12.2952380952381" style="9" customWidth="1"/>
    <col min="3" max="3" width="12.6380952380952" style="9" customWidth="1"/>
    <col min="4" max="4" width="22.8571428571429" style="9" customWidth="1"/>
    <col min="5" max="5" width="12.0857142857143" style="9" customWidth="1"/>
    <col min="6" max="7" width="13.4285714285714" style="9" customWidth="1"/>
    <col min="8" max="8" width="17.5714285714286" style="9" customWidth="1"/>
    <col min="9" max="16384" width="9.14285714285714" style="9" customWidth="1"/>
  </cols>
  <sheetData>
    <row r="1" ht="17.6" customHeight="1" spans="1:8">
      <c r="A1" s="10" t="s">
        <v>45</v>
      </c>
      <c r="B1" s="10"/>
      <c r="C1" s="10"/>
      <c r="D1" s="10"/>
      <c r="E1" s="10"/>
      <c r="F1" s="10"/>
      <c r="G1" s="10"/>
      <c r="H1" s="10"/>
    </row>
    <row r="3" s="8" customFormat="1" ht="23.35" customHeight="1" spans="1:8">
      <c r="A3" s="11" t="s">
        <v>46</v>
      </c>
      <c r="B3" s="11" t="s">
        <v>47</v>
      </c>
      <c r="C3" s="11" t="s">
        <v>28</v>
      </c>
      <c r="D3" s="11" t="s">
        <v>48</v>
      </c>
      <c r="E3" s="11" t="s">
        <v>21</v>
      </c>
      <c r="F3" s="11" t="s">
        <v>6</v>
      </c>
      <c r="G3" s="11" t="s">
        <v>49</v>
      </c>
      <c r="H3" s="11" t="s">
        <v>50</v>
      </c>
    </row>
    <row r="4" ht="23.35" customHeight="1" spans="1:8">
      <c r="A4" s="12">
        <v>1</v>
      </c>
      <c r="B4" s="13"/>
      <c r="C4" s="14"/>
      <c r="D4" s="15"/>
      <c r="E4" s="12" t="str">
        <f>IF(COUNTA(B4:D4,F4,H4)&gt;0,"PKR/卢比","")</f>
        <v/>
      </c>
      <c r="F4" s="14"/>
      <c r="G4" s="12" t="str">
        <f>IF(COUNTA(B4:D4,F4,H4)&gt;0,"连雅杰","")</f>
        <v/>
      </c>
      <c r="H4" s="15"/>
    </row>
    <row r="5" ht="23.35" customHeight="1" spans="1:8">
      <c r="A5" s="12">
        <v>2</v>
      </c>
      <c r="B5" s="13"/>
      <c r="C5" s="14"/>
      <c r="D5" s="15"/>
      <c r="E5" s="12" t="str">
        <f t="shared" ref="E4:E18" si="0">IF(COUNTA(B5:D5,F5,H5)&gt;0,"PKR/卢比","")</f>
        <v/>
      </c>
      <c r="F5" s="14"/>
      <c r="G5" s="12" t="str">
        <f t="shared" ref="G4:G18" si="1">IF(COUNTA(B5:D5,F5,H5)&gt;0,"连雅杰","")</f>
        <v/>
      </c>
      <c r="H5" s="15"/>
    </row>
    <row r="6" ht="23.35" customHeight="1" spans="1:8">
      <c r="A6" s="12">
        <v>3</v>
      </c>
      <c r="B6" s="13"/>
      <c r="C6" s="14"/>
      <c r="D6" s="15"/>
      <c r="E6" s="12" t="str">
        <f t="shared" si="0"/>
        <v/>
      </c>
      <c r="F6" s="14"/>
      <c r="G6" s="12" t="str">
        <f t="shared" si="1"/>
        <v/>
      </c>
      <c r="H6" s="15"/>
    </row>
    <row r="7" ht="23.35" customHeight="1" spans="1:8">
      <c r="A7" s="12">
        <v>4</v>
      </c>
      <c r="B7" s="13"/>
      <c r="C7" s="14"/>
      <c r="D7" s="15"/>
      <c r="E7" s="12" t="str">
        <f t="shared" si="0"/>
        <v/>
      </c>
      <c r="F7" s="14"/>
      <c r="G7" s="12" t="str">
        <f t="shared" si="1"/>
        <v/>
      </c>
      <c r="H7" s="15"/>
    </row>
    <row r="8" ht="23.35" customHeight="1" spans="1:8">
      <c r="A8" s="12">
        <v>5</v>
      </c>
      <c r="B8" s="13"/>
      <c r="C8" s="14"/>
      <c r="D8" s="15"/>
      <c r="E8" s="12" t="str">
        <f t="shared" si="0"/>
        <v/>
      </c>
      <c r="F8" s="14"/>
      <c r="G8" s="12" t="str">
        <f t="shared" si="1"/>
        <v/>
      </c>
      <c r="H8" s="15"/>
    </row>
    <row r="9" ht="23.35" customHeight="1" spans="1:8">
      <c r="A9" s="12">
        <v>6</v>
      </c>
      <c r="B9" s="13"/>
      <c r="C9" s="14"/>
      <c r="D9" s="15"/>
      <c r="E9" s="12" t="str">
        <f t="shared" si="0"/>
        <v/>
      </c>
      <c r="F9" s="14"/>
      <c r="G9" s="12" t="str">
        <f t="shared" si="1"/>
        <v/>
      </c>
      <c r="H9" s="15"/>
    </row>
    <row r="10" ht="23.35" customHeight="1" spans="1:8">
      <c r="A10" s="12">
        <v>7</v>
      </c>
      <c r="B10" s="13"/>
      <c r="C10" s="14"/>
      <c r="D10" s="15"/>
      <c r="E10" s="12" t="str">
        <f t="shared" si="0"/>
        <v/>
      </c>
      <c r="F10" s="14"/>
      <c r="G10" s="12" t="str">
        <f t="shared" si="1"/>
        <v/>
      </c>
      <c r="H10" s="15"/>
    </row>
    <row r="11" ht="23.35" customHeight="1" spans="1:8">
      <c r="A11" s="12">
        <v>8</v>
      </c>
      <c r="B11" s="13"/>
      <c r="C11" s="14"/>
      <c r="D11" s="15"/>
      <c r="E11" s="12" t="str">
        <f t="shared" si="0"/>
        <v/>
      </c>
      <c r="F11" s="14"/>
      <c r="G11" s="12" t="str">
        <f t="shared" si="1"/>
        <v/>
      </c>
      <c r="H11" s="15"/>
    </row>
    <row r="12" ht="23.35" customHeight="1" spans="1:8">
      <c r="A12" s="12">
        <v>9</v>
      </c>
      <c r="B12" s="13"/>
      <c r="C12" s="14"/>
      <c r="D12" s="15"/>
      <c r="E12" s="12" t="str">
        <f t="shared" si="0"/>
        <v/>
      </c>
      <c r="F12" s="14"/>
      <c r="G12" s="12" t="str">
        <f t="shared" si="1"/>
        <v/>
      </c>
      <c r="H12" s="15"/>
    </row>
    <row r="13" ht="23.35" customHeight="1" spans="1:8">
      <c r="A13" s="12">
        <v>10</v>
      </c>
      <c r="B13" s="13"/>
      <c r="C13" s="14"/>
      <c r="D13" s="15"/>
      <c r="E13" s="12" t="str">
        <f t="shared" si="0"/>
        <v/>
      </c>
      <c r="F13" s="14"/>
      <c r="G13" s="12" t="str">
        <f t="shared" si="1"/>
        <v/>
      </c>
      <c r="H13" s="15"/>
    </row>
    <row r="14" ht="23.35" customHeight="1" spans="1:8">
      <c r="A14" s="12">
        <v>11</v>
      </c>
      <c r="B14" s="13"/>
      <c r="C14" s="14"/>
      <c r="D14" s="15"/>
      <c r="E14" s="12" t="str">
        <f t="shared" si="0"/>
        <v/>
      </c>
      <c r="F14" s="14"/>
      <c r="G14" s="12" t="str">
        <f t="shared" si="1"/>
        <v/>
      </c>
      <c r="H14" s="15"/>
    </row>
    <row r="15" ht="23.35" customHeight="1" spans="1:8">
      <c r="A15" s="12">
        <v>12</v>
      </c>
      <c r="B15" s="13"/>
      <c r="C15" s="14"/>
      <c r="D15" s="15"/>
      <c r="E15" s="12" t="str">
        <f t="shared" si="0"/>
        <v/>
      </c>
      <c r="F15" s="14"/>
      <c r="G15" s="12" t="str">
        <f t="shared" si="1"/>
        <v/>
      </c>
      <c r="H15" s="15"/>
    </row>
    <row r="16" ht="23.35" customHeight="1" spans="1:8">
      <c r="A16" s="12">
        <v>13</v>
      </c>
      <c r="B16" s="13"/>
      <c r="C16" s="14"/>
      <c r="D16" s="15"/>
      <c r="E16" s="12" t="str">
        <f t="shared" si="0"/>
        <v/>
      </c>
      <c r="F16" s="14"/>
      <c r="G16" s="12" t="str">
        <f t="shared" si="1"/>
        <v/>
      </c>
      <c r="H16" s="15"/>
    </row>
    <row r="17" ht="23.35" customHeight="1" spans="1:8">
      <c r="A17" s="12">
        <v>14</v>
      </c>
      <c r="B17" s="13"/>
      <c r="C17" s="14"/>
      <c r="D17" s="15"/>
      <c r="E17" s="12" t="str">
        <f t="shared" si="0"/>
        <v/>
      </c>
      <c r="F17" s="14"/>
      <c r="G17" s="12" t="str">
        <f t="shared" si="1"/>
        <v/>
      </c>
      <c r="H17" s="15"/>
    </row>
    <row r="18" ht="23.35" customHeight="1" spans="1:8">
      <c r="A18" s="12">
        <v>15</v>
      </c>
      <c r="B18" s="13"/>
      <c r="C18" s="14"/>
      <c r="D18" s="15"/>
      <c r="E18" s="12" t="str">
        <f t="shared" si="0"/>
        <v/>
      </c>
      <c r="F18" s="14"/>
      <c r="G18" s="12" t="str">
        <f t="shared" si="1"/>
        <v/>
      </c>
      <c r="H18" s="15"/>
    </row>
    <row r="19" ht="23.35" customHeight="1" spans="1:8">
      <c r="A19" s="12"/>
      <c r="B19" s="15"/>
      <c r="C19" s="14"/>
      <c r="D19" s="15" t="s">
        <v>51</v>
      </c>
      <c r="E19" s="12"/>
      <c r="F19" s="14">
        <f>SUM(F4:F18)</f>
        <v>0</v>
      </c>
      <c r="G19" s="12"/>
      <c r="H19" s="15"/>
    </row>
    <row r="20" spans="1:8">
      <c r="E20" s="16" t="str">
        <f>IF(COUNTA(B20:D20,F20,H20)&gt;0,"PKR/卢比","")</f>
        <v/>
      </c>
      <c r="G20" s="16" t="str">
        <f>IF(COUNTA(B20:D20,F20,H20)&gt;0,"连雅杰","")</f>
        <v/>
      </c>
    </row>
    <row r="21" spans="1:8">
      <c r="B21" s="9" t="s">
        <v>52</v>
      </c>
      <c r="E21" s="16"/>
      <c r="F21" s="9" t="s">
        <v>53</v>
      </c>
      <c r="G21" s="16"/>
    </row>
  </sheetData>
  <dataValidations count="1">
    <dataValidation type="list" allowBlank="1" showInputMessage="1" showErrorMessage="1" sqref="C4:C18">
      <formula1>分类说明!$A$2:$A$22</formula1>
    </dataValidation>
  </dataValidations>
  <pageMargins left="0.43" right="0.5" top="0.75" bottom="0.75" header="0.3" footer="0.3"/>
  <pageSetup paperSize="9" fitToHeight="0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2"/>
  <sheetViews>
    <sheetView showGridLines="0" workbookViewId="0">
      <selection activeCell="E12" sqref="E12"/>
    </sheetView>
  </sheetViews>
  <sheetFormatPr defaultColWidth="9" defaultRowHeight="12.75" outlineLevelCol="1"/>
  <cols>
    <col min="1" max="1" width="10.8571428571429" style="1" customWidth="1"/>
    <col min="2" max="2" width="93.2857142857143" style="1" customWidth="1"/>
  </cols>
  <sheetData>
    <row r="1" ht="16.9" customHeight="1" spans="1:2">
      <c r="A1" s="2" t="s">
        <v>28</v>
      </c>
      <c r="B1" s="2" t="s">
        <v>54</v>
      </c>
    </row>
    <row r="2" ht="16.9" customHeight="1" spans="1:2">
      <c r="A2" s="3" t="s">
        <v>55</v>
      </c>
      <c r="B2" s="4" t="s">
        <v>56</v>
      </c>
    </row>
    <row r="3" ht="16.9" customHeight="1" spans="1:2">
      <c r="A3" s="3" t="s">
        <v>57</v>
      </c>
      <c r="B3" s="4" t="s">
        <v>58</v>
      </c>
    </row>
    <row r="4" ht="16.9" customHeight="1" spans="1:2">
      <c r="A4" s="5" t="s">
        <v>59</v>
      </c>
      <c r="B4" s="4" t="s">
        <v>60</v>
      </c>
    </row>
    <row r="5" ht="16.9" customHeight="1" spans="1:2">
      <c r="A5" s="5" t="s">
        <v>61</v>
      </c>
      <c r="B5" s="4" t="s">
        <v>62</v>
      </c>
    </row>
    <row r="6" ht="16.9" customHeight="1" spans="1:2">
      <c r="A6" s="5" t="s">
        <v>63</v>
      </c>
      <c r="B6" s="4" t="s">
        <v>64</v>
      </c>
    </row>
    <row r="7" ht="16.9" customHeight="1" spans="1:2">
      <c r="A7" s="5" t="s">
        <v>65</v>
      </c>
      <c r="B7" s="4" t="s">
        <v>66</v>
      </c>
    </row>
    <row r="8" ht="16.9" customHeight="1" spans="1:2">
      <c r="A8" s="5" t="s">
        <v>67</v>
      </c>
      <c r="B8" s="4" t="s">
        <v>68</v>
      </c>
    </row>
    <row r="9" ht="16.9" customHeight="1" spans="1:2">
      <c r="A9" s="5" t="s">
        <v>69</v>
      </c>
      <c r="B9" s="4" t="s">
        <v>70</v>
      </c>
    </row>
    <row r="10" ht="16.9" customHeight="1" spans="1:2">
      <c r="A10" s="5" t="s">
        <v>71</v>
      </c>
      <c r="B10" s="4" t="s">
        <v>72</v>
      </c>
    </row>
    <row r="11" ht="16.9" customHeight="1" spans="1:2">
      <c r="A11" s="5" t="s">
        <v>73</v>
      </c>
      <c r="B11" s="4" t="s">
        <v>74</v>
      </c>
    </row>
    <row r="12" ht="16.9" customHeight="1" spans="1:2">
      <c r="A12" s="5" t="s">
        <v>75</v>
      </c>
      <c r="B12" s="4" t="s">
        <v>76</v>
      </c>
    </row>
    <row r="13" ht="16.9" customHeight="1" spans="1:2">
      <c r="A13" s="3" t="s">
        <v>77</v>
      </c>
      <c r="B13" s="4" t="s">
        <v>78</v>
      </c>
    </row>
    <row r="14" ht="16.9" customHeight="1" spans="1:2">
      <c r="A14" s="6" t="s">
        <v>79</v>
      </c>
      <c r="B14" s="4" t="s">
        <v>80</v>
      </c>
    </row>
    <row r="15" ht="16.9" customHeight="1" spans="1:2">
      <c r="A15" s="5" t="s">
        <v>81</v>
      </c>
      <c r="B15" s="4" t="s">
        <v>82</v>
      </c>
    </row>
    <row r="16" ht="16.9" customHeight="1" spans="1:2">
      <c r="A16" s="5" t="s">
        <v>83</v>
      </c>
      <c r="B16" s="4" t="s">
        <v>84</v>
      </c>
    </row>
    <row r="17" ht="16.9" customHeight="1" spans="1:2">
      <c r="A17" s="5" t="s">
        <v>85</v>
      </c>
      <c r="B17" s="4" t="s">
        <v>86</v>
      </c>
    </row>
    <row r="18" ht="16.9" customHeight="1" spans="1:2">
      <c r="A18" s="5" t="s">
        <v>87</v>
      </c>
      <c r="B18" s="4" t="s">
        <v>88</v>
      </c>
    </row>
    <row r="19" ht="16.9" customHeight="1" spans="1:2">
      <c r="A19" s="5" t="s">
        <v>89</v>
      </c>
      <c r="B19" s="4" t="s">
        <v>90</v>
      </c>
    </row>
    <row r="20" ht="16.9" customHeight="1" spans="1:2">
      <c r="A20" s="5" t="s">
        <v>91</v>
      </c>
      <c r="B20" s="4" t="s">
        <v>92</v>
      </c>
    </row>
    <row r="21" ht="16.9" customHeight="1" spans="1:2">
      <c r="A21" s="5" t="s">
        <v>93</v>
      </c>
      <c r="B21" s="4" t="s">
        <v>94</v>
      </c>
    </row>
    <row r="22" ht="16.9" customHeight="1" spans="1:2">
      <c r="A22" s="7" t="s">
        <v>95</v>
      </c>
      <c r="B22" s="4" t="s">
        <v>96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原版</vt:lpstr>
      <vt:lpstr>付款审批单</vt:lpstr>
      <vt:lpstr>清单</vt:lpstr>
      <vt:lpstr>分类说明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。</cp:lastModifiedBy>
  <dcterms:created xsi:type="dcterms:W3CDTF">2021-12-13T08:25:00Z</dcterms:created>
  <cp:lastPrinted>2026-04-22T05:46:00Z</cp:lastPrinted>
  <dcterms:modified xsi:type="dcterms:W3CDTF">2026-05-16T10:58:24Z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C3657D2644524C539664FEE552472C45_13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